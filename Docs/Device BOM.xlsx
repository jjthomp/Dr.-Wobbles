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tc={6b6d71f9-3208-4e27-a3ba-1438a80aa891}</author>
    <author>tc={b4851634-f2cc-4aa7-b7e1-88aa9353ba84}</author>
    <author>tc={ecc44575-8fb1-4455-8f90-756e8d4134f5}</author>
  </authors>
  <commentList>
    <comment authorId="0" xr:uid="{6b6d71f9-3208-4e27-a3ba-1438a80aa891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cost for 4 ft, need to estimate cost used per device
</t>
      </text>
    </comment>
    <comment authorId="1" xr:uid="{b4851634-f2cc-4aa7-b7e1-88aa9353ba84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@tolaurenyoung14@gmail.com Can you please add the buton info here from the procurement sheet that you made? Thanks
Assigned to tolaurenyoung14@gmail.com
</t>
      </text>
    </comment>
    <comment authorId="2" xr:uid="{ecc44575-8fb1-4455-8f90-756e8d4134f5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@kathleen.a.botha@gmail.com @jjthompson124@gmail.com @tolaurenyoung14@gmail.com Here is the full device BOM, please add anything I might have missed. Not sure how to deal with crimp connectors and hookup wire costs yet.
Also don't know where we got our elastic from.
</t>
      </text>
    </comment>
  </commentList>
</comments>
</file>

<file path=xl/sharedStrings.xml><?xml version="1.0" encoding="utf-8"?>
<sst xmlns="http://schemas.openxmlformats.org/spreadsheetml/2006/main" count="83" uniqueCount="67">
  <si>
    <t>Product</t>
  </si>
  <si>
    <t>Qty</t>
  </si>
  <si>
    <t>Manufacturer</t>
  </si>
  <si>
    <t>Supplier/Website Name</t>
  </si>
  <si>
    <t>Cost per part (CAD)</t>
  </si>
  <si>
    <t>Cost total</t>
  </si>
  <si>
    <t>Website Link</t>
  </si>
  <si>
    <t>Notes</t>
  </si>
  <si>
    <t>Total Cost</t>
  </si>
  <si>
    <t>ADAFRUIT QT PY ESP32 PICO - WIFI</t>
  </si>
  <si>
    <t>Adafruit Industries LLC</t>
  </si>
  <si>
    <t>Digikey</t>
  </si>
  <si>
    <t>https://www.digikey.ca/en/products/detail/adafruit-industries-llc/5395/21283810?gclsrc=aw.ds&amp;gad_source=1&amp;gad_campaignid=23158240004&amp;gbraid=0AAAAADrbLli4vLdVFdrHNT549Z7ZFWxvX&amp;gclid=Cj0KCQiAyP3KBhD9ARIsAAJLnnYZw9zCDQC1y7Tx3lgrkXpm78wV9mthDVmFFrA10c8FNxqkb6SOSZQaAhjeEALw_wcB</t>
  </si>
  <si>
    <t>Microcontroller</t>
  </si>
  <si>
    <t>VIBRATION MOTOR 16K RPM 6.0G</t>
  </si>
  <si>
    <t>Vybronics Inc</t>
  </si>
  <si>
    <t>https://www.digikey.com/en/products/detail/vybronics-inc/VJP12-25F190/21800200</t>
  </si>
  <si>
    <t>Motor</t>
  </si>
  <si>
    <t>CONN HEADER VERT 2POS 2.5MM</t>
  </si>
  <si>
    <t>JST Sales America Inc.</t>
  </si>
  <si>
    <r>
      <rPr>
        <rFont val="Arial"/>
        <color rgb="FF000000"/>
        <sz val="10.0"/>
        <u/>
      </rPr>
      <t>https://www.digikey.ca/short/3wn37qv3</t>
    </r>
  </si>
  <si>
    <t>Button connectors, male</t>
  </si>
  <si>
    <t>CONN HEADER VERT 2POS 2MM</t>
  </si>
  <si>
    <r>
      <rPr>
        <rFont val="Arial"/>
        <color rgb="FF000000"/>
        <sz val="10.0"/>
        <u/>
      </rPr>
      <t>https://www.digikey.ca/short/9w7r2089</t>
    </r>
  </si>
  <si>
    <t>Battery connector, male</t>
  </si>
  <si>
    <t>Female 2.5</t>
  </si>
  <si>
    <t>https://www.digikey.ca/en/products/detail/jst-sales-america-inc/XHP-2/555485</t>
  </si>
  <si>
    <t>Button connectors, female</t>
  </si>
  <si>
    <t>LIPOLY BATTERY CHARGER W/USB C</t>
  </si>
  <si>
    <t>Adafruit</t>
  </si>
  <si>
    <t>https://www.digikey.ca/en/products/detail/adafruit-industries-llc/4410/10673110?gclsrc=aw.ds&amp;gad_source=1&amp;gad_campaignid=23152963569&amp;gbraid=0AAAAADrbLlgGlRAJ8swgGiTFawiygX30R&amp;gclid=CjwKCAjw687NBhB4EiwAQ645dul_vC2vuWBiiBKmaFGLMBCqGnkXTTcrW6B9ceO-AYAprIwE1Cjm5RoCZ-YQAvD_BwE</t>
  </si>
  <si>
    <t>Battery charger</t>
  </si>
  <si>
    <t>Button</t>
  </si>
  <si>
    <t>E-Switch</t>
  </si>
  <si>
    <t>http://digikey.ca/en/products/detail/e-switch/R4DBLKBLKBF0/1805285?gclsrc=aw.ds&amp;&amp;gad_source=1&amp;&amp;gad_campaignid=23158240004&amp;&amp;gbraid=0AAAAADrbLljG-k3Ma4nGDwEgtXvyLi5x1&amp;&amp;gclid=Cj0KCQjwve7NBhC-ARIsALZy9HUIoouzmN1suUxibX969-9j2fymNT0lTf_32fh-5JJsbGd3p3JS2MEaAvfKEALw_wcB</t>
  </si>
  <si>
    <t>Switch button</t>
  </si>
  <si>
    <t>Hookup Wire</t>
  </si>
  <si>
    <t>https://www.digikey.ca/en/products/detail/adafruit-industries-llc/3175/6198258?gclsrc=aw.ds&amp;gad_source=1&amp;gad_campaignid=17336435733&amp;gbraid=0AAAAADrbLljhQFknGphewvXc32_JDF60T&amp;gclid=CjwKCAjw1tLOBhAMEiwAiPkRHnneiKEIQEN7qH5Ya8l67wDqOJODZ4zZXGGXNIjZ6EBHo3wWMgy8pRoCqkgQAvD_BwE</t>
  </si>
  <si>
    <t>Wire for connectors, negligible cost ($0.02/ft) and &lt; 1 ft total wire required</t>
  </si>
  <si>
    <t>Crimp connectors</t>
  </si>
  <si>
    <t>Civilux USA</t>
  </si>
  <si>
    <t>https://www.digikey.ca/en/products/detail/cvilux-usa/CI33T021PE0/13176881?gclsrc=aw.ds&amp;gad_source=1&amp;gad_campaignid=17336435733&amp;gbraid=0AAAAADrbLljhQFknGphewvXc32_JDF60T&amp;gclid=CjwKCAjw1tLOBhAMEiwAiPkRHjBEEmkEsyiwpZEiU0b3EIp3cGw9B7HxZabsQTX_9M3QCi4ilMiXTRoCrSQQAvD_BwE</t>
  </si>
  <si>
    <t>Ice Pack</t>
  </si>
  <si>
    <t>HEQU</t>
  </si>
  <si>
    <t>Amazon</t>
  </si>
  <si>
    <t>https://www.amazon.ca/Reusable-Injuries-Compress-Professional-Enthusiasts/dp/B0CX1NKH7N/ref=sr_1_1?crid=3V2S5E4JD49G8&amp;dib=eyJ2IjoiMSJ9.NAkUHcNpgp5S42wwmebXyQ.0z7p5o_k16FAsu4iwMGm9pc0bMp5_oZAj6LyEq2lwJI&amp;dib_tag=se&amp;keywords=10+Pack+Reusable+Small+Ice+Packs%2C+2.75%22+Gel+Ice+Packs+for+Injuries%2C+Ice+Pads+Hot+%26+Cold+Compress+for+Professional+Athletes%2C+Qutdoor+Sports+Enthusiasts+%2F+Lot+de+10+petits+blocs+de+glace+r%C3%A9utilisables%2C+7+cm+pour+blessures%2C+compresses+chaudes+et+froides+pour+athl%C3%A8tes+professionnels%2C+amateurs+de+sport+Qutdoor+ASIN%3A+B0CX1NKH7N&amp;qid=1774896804&amp;sprefix=10+pack+reusable+small+ice+packs%2C+2+75+gel+ice+packs+for+injuries%2C+ice+pads+hot+%26+cold+compress+for+professional+athletes%2C+qutdoor+sports+enthusiasts+%2F+lot+de+10+petits+blocs+de+glace+r%C3%A9utilisables%2C+7+cm+pour+blessures%2C+compresses+chaudes+et+froides+pour+athl%C3%A8tes+professionnels%2C+amateurs+de+sport+qutdoor+asin+b0cx1nkh7n%2Caps%2C154&amp;sr=8-1</t>
  </si>
  <si>
    <t>Ice packs</t>
  </si>
  <si>
    <t>Velcro</t>
  </si>
  <si>
    <t>Michaels</t>
  </si>
  <si>
    <t>https://canada.michaels.com/product/velcro-brand-onewrap-black-roll-4ft-10218638</t>
  </si>
  <si>
    <t>Estimated by length of velcro used</t>
  </si>
  <si>
    <t>Elastic band</t>
  </si>
  <si>
    <t>QingLHC</t>
  </si>
  <si>
    <t>https://www.amazon.ca/Elastic-8-Inch-10Yards-Stretch-Camping/dp/B0D7LD1LSN?source=ps-sl-shoppingads-lpcontext&amp;ref_=fplfs&amp;psc=1&amp;smid=A2AJLOVK5DXP74</t>
  </si>
  <si>
    <t>Elastic for ice pack, estimated use</t>
  </si>
  <si>
    <t>PCBA</t>
  </si>
  <si>
    <t>JLCPCB</t>
  </si>
  <si>
    <t>https://jlcpcb.com/</t>
  </si>
  <si>
    <t>Gerber and drill files available on GitHub</t>
  </si>
  <si>
    <t>LiPo Rechargeable Battery (Option 1)</t>
  </si>
  <si>
    <t xml:space="preserve">EEMB </t>
  </si>
  <si>
    <t>https://www.amazon.ca/dp/B08FD39Y5R?ref=ppx_yo2ov_dt_b_fed_asin_title&amp;th=1</t>
  </si>
  <si>
    <t>3.7V 1000 mAh rechargeable battery used in prototype, but lower cost alternative has been found</t>
  </si>
  <si>
    <t>LiPo Rechargeable Battery (Option 2)</t>
  </si>
  <si>
    <t>Generic</t>
  </si>
  <si>
    <t>https://www.amazon.ca/523450-Rechargeable-Connector-Household-Appliances/dp/B0C4YH3JSV/ref=asc_df_B0C4YH3JSV?mcid=6a1224694691310bbd7f4acc061777f4&amp;tag=googleshopc0c-20&amp;linkCode=df0&amp;hvadid=706724917116&amp;hvpos=&amp;hvnetw=g&amp;hvrand=14352874976255383731&amp;hvpone=&amp;hvptwo=&amp;hvqmt=&amp;hvdev=c&amp;hvdvcmdl=&amp;hvlocint=&amp;hvlocphy=9001561&amp;hvtargid=pla-2394670522448&amp;psc=1&amp;hvocijid=14352874976255383731-B0C4YH3JSV-&amp;hvexpln=0&amp;gad_source=1</t>
  </si>
  <si>
    <t xml:space="preserve">3.7V 1000 mAh rechargeable battery - lower cost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</si>
</sst>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Font="1" applyNumberForma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8f0e41d0-59cf-4d70-b8be-11d506d4c8e1}">
    <Anchor>
      <Comment id="{b4851634-f2cc-4aa7-b7e1-88aa9353ba84}"/>
    </Anchor>
    <History>
      <Event time="2026-03-30T19:28:53.00" id="{dd3a95fb-6930-4c08-8599-92828de06e8a}">
        <Attribution userId="placeholder@email.com" userName="Myra Wei" userProvider="google-sheets"/>
        <Anchor>
          <Comment id="{b4851634-f2cc-4aa7-b7e1-88aa9353ba84}"/>
        </Anchor>
        <Create/>
      </Event>
      <Event time="2026-03-30T19:28:53.00" id="{ec3f2df4-5cdc-4059-8b02-87d0f0945b5d}">
        <Attribution userId="placeholder@email.com" userName="Myra Wei" userProvider="google-sheets"/>
        <Anchor>
          <Comment id="{b4851634-f2cc-4aa7-b7e1-88aa9353ba84}"/>
        </Anchor>
        <Assign userId="tolaurenyoung14@gmail.com" userName="tolaurenyoung14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jthompson124@gmail.com" id="{4032c33e-f161-446b-9730-5a01530414c3}" userId="jjthompson124@gmail.com" providerId="google-sheets"/>
  <x18tc:person displayName="kathleen.a.botha@gmail.com" id="{e7fedf68-8cee-4064-812c-e8a25538112d}" userId="kathleen.a.botha@gmail.com" providerId="google-sheets"/>
  <x18tc:person displayName="Myra Wei" id="{43f1f321-09d9-49bb-923b-4366240adace}" providerId="google-sheets"/>
  <x18tc:person displayName="tolaurenyoung14@gmail.com" id="{7849a9fd-e8b8-4217-a39b-be546b177f7e}" userId="tolaurenyoung14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2" dT="2026-03-30T19:10:26.00" personId="{43f1f321-09d9-49bb-923b-4366240adace}" id="{6b6d71f9-3208-4e27-a3ba-1438a80aa891}" done="0">
    <x18tc:text xml:space="preserve">this is cost for 4 ft, need to estimate cost used per device</x18tc:text>
  </x18tc:threadedComment>
  <x18tc:threadedComment ref="A8" dT="2026-03-30T19:28:53.00" personId="{43f1f321-09d9-49bb-923b-4366240adace}" id="{b4851634-f2cc-4aa7-b7e1-88aa9353ba84}" done="1">
    <x18tc:text xml:space="preserve">@tolaurenyoung14@gmail.com Can you please add the buton info here from the procurement sheet that you made? Thanks
Assigned to tolaurenyoung14@gmail.com</x18tc:text>
    <x18tc:mentions>
      <x18tc:mention mentionpersonId="{7849a9fd-e8b8-4217-a39b-be546b177f7e}" mentionId="{bab7217c-54ca-46bb-9d10-dca7fd2aba7e}" startIndex="0" length="26"/>
    </x18tc:mentions>
  </x18tc:threadedComment>
  <x18tc:threadedComment ref="A9" dT="2026-03-30T19:30:18.00" personId="{43f1f321-09d9-49bb-923b-4366240adace}" id="{ecc44575-8fb1-4455-8f90-756e8d4134f5}" done="1">
    <x18tc:text xml:space="preserve">@kathleen.a.botha@gmail.com @jjthompson124@gmail.com @tolaurenyoung14@gmail.com Here is the full device BOM, please add anything I might have missed. Not sure how to deal with crimp connectors and hookup wire costs yet.
Also don't know where we got our elastic from.</x18tc:text>
    <x18tc:mentions>
      <x18tc:mention mentionpersonId="{e7fedf68-8cee-4064-812c-e8a25538112d}" mentionId="{c39d315d-8868-41c3-8a5b-266800bfd12c}" startIndex="0" length="27"/>
      <x18tc:mention mentionpersonId="{4032c33e-f161-446b-9730-5a01530414c3}" mentionId="{a0b786e9-570d-4e38-a000-9c5611de4b57}" startIndex="28" length="24"/>
      <x18tc:mention mentionpersonId="{7849a9fd-e8b8-4217-a39b-be546b177f7e}" mentionId="{f9cdfd28-7e52-468e-9602-c4bb101c8f2f}" startIndex="53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www.digikey.ca/en/products/detail/adafruit-industries-llc/3175/6198258?gclsrc=aw.ds&amp;gad_source=1&amp;gad_campaignid=17336435733&amp;gbraid=0AAAAADrbLljhQFknGphewvXc32_JDF60T&amp;gclid=CjwKCAjw1tLOBhAMEiwAiPkRHnneiKEIQEN7qH5Ya8l67wDqOJODZ4zZXGGXNIjZ6EBHo3wWMgy8pRoCqkgQAvD_BwE" TargetMode="External"/><Relationship Id="rId10" Type="http://schemas.openxmlformats.org/officeDocument/2006/relationships/hyperlink" Target="http://digikey.ca/en/products/detail/e-switch/R4DBLKBLKBF0/1805285?gclsrc=aw.ds&amp;&amp;gad_source=1&amp;&amp;gad_campaignid=23158240004&amp;&amp;gbraid=0AAAAADrbLljG-k3Ma4nGDwEgtXvyLi5x1&amp;&amp;gclid=Cj0KCQjwve7NBhC-ARIsALZy9HUIoouzmN1suUxibX969-9j2fymNT0lTf_32fh-5JJsbGd3p3JS2MEaAvfKEALw_wcB" TargetMode="External"/><Relationship Id="rId13" Type="http://schemas.openxmlformats.org/officeDocument/2006/relationships/hyperlink" Target="https://www.amazon.ca/Reusable-Injuries-Compress-Professional-Enthusiasts/dp/B0CX1NKH7N/ref=sr_1_1?crid=3V2S5E4JD49G8&amp;dib=eyJ2IjoiMSJ9.NAkUHcNpgp5S42wwmebXyQ.0z7p5o_k16FAsu4iwMGm9pc0bMp5_oZAj6LyEq2lwJI&amp;dib_tag=se&amp;keywords=10+Pack+Reusable+Small+Ice+Packs%2C+2.75%22+Gel+Ice+Packs+for+Injuries%2C+Ice+Pads+Hot+%26+Cold+Compress+for+Professional+Athletes%2C+Qutdoor+Sports+Enthusiasts+%2F+Lot+de+10+petits+blocs+de+glace+r%C3%A9utilisables%2C+7+cm+pour+blessures%2C+compresses+chaudes+et+froides+pour+athl%C3%A8tes+professionnels%2C+amateurs+de+sport+Qutdoor+ASIN%3A+B0CX1NKH7N&amp;qid=1774896804&amp;sprefix=10+pack+reusable+small+ice+packs%2C+2+75+gel+ice+packs+for+injuries%2C+ice+pads+hot+%26+cold+compress+for+professional+athletes%2C+qutdoor+sports+enthusiasts+%2F+lot+de+10+petits+blocs+de+glace+r%C3%A9utilisables%2C+7+cm+pour+blessures%2C+compresses+chaudes+et+froides+pour+athl%C3%A8tes+professionnels%2C+amateurs+de+sport+qutdoor+asin+b0cx1nkh7n%2Caps%2C154&amp;sr=8-1" TargetMode="External"/><Relationship Id="rId12" Type="http://schemas.openxmlformats.org/officeDocument/2006/relationships/hyperlink" Target="https://www.digikey.ca/en/products/detail/cvilux-usa/CI33T021PE0/13176881?gclsrc=aw.ds&amp;gad_source=1&amp;gad_campaignid=17336435733&amp;gbraid=0AAAAADrbLljhQFknGphewvXc32_JDF60T&amp;gclid=CjwKCAjw1tLOBhAMEiwAiPkRHjBEEmkEsyiwpZEiU0b3EIp3cGw9B7HxZabsQTX_9M3QCi4ilMiXTRoCrSQQAvD_Bw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digikey.ca/en/products/detail/adafruit-industries-llc/5395/21283810?gclsrc=aw.ds&amp;gad_source=1&amp;gad_campaignid=23158240004&amp;gbraid=0AAAAADrbLli4vLdVFdrHNT549Z7ZFWxvX&amp;gclid=Cj0KCQiAyP3KBhD9ARIsAAJLnnYZw9zCDQC1y7Tx3lgrkXpm78wV9mthDVmFFrA10c8FNxqkb6SOSZQaAhjeEALw_wcB" TargetMode="External"/><Relationship Id="rId9" Type="http://schemas.openxmlformats.org/officeDocument/2006/relationships/hyperlink" Target="https://www.digikey.ca/en/products/detail/adafruit-industries-llc/4410/10673110?gclsrc=aw.ds&amp;gad_source=1&amp;gad_campaignid=23152963569&amp;gbraid=0AAAAADrbLlgGlRAJ8swgGiTFawiygX30R&amp;gclid=CjwKCAjw687NBhB4EiwAQ645dul_vC2vuWBiiBKmaFGLMBCqGnkXTTcrW6B9ceO-AYAprIwE1Cjm5RoCZ-YQAvD_BwE" TargetMode="External"/><Relationship Id="rId15" Type="http://schemas.openxmlformats.org/officeDocument/2006/relationships/hyperlink" Target="https://www.amazon.ca/Elastic-8-Inch-10Yards-Stretch-Camping/dp/B0D7LD1LSN?source=ps-sl-shoppingads-lpcontext&amp;ref_=fplfs&amp;psc=1&amp;smid=A2AJLOVK5DXP74" TargetMode="External"/><Relationship Id="rId14" Type="http://schemas.openxmlformats.org/officeDocument/2006/relationships/hyperlink" Target="https://canada.michaels.com/product/velcro-brand-onewrap-black-roll-4ft-10218638" TargetMode="External"/><Relationship Id="rId17" Type="http://schemas.openxmlformats.org/officeDocument/2006/relationships/hyperlink" Target="https://www.amazon.ca/dp/B08FD39Y5R?ref=ppx_yo2ov_dt_b_fed_asin_title&amp;th=1" TargetMode="External"/><Relationship Id="rId16" Type="http://schemas.openxmlformats.org/officeDocument/2006/relationships/hyperlink" Target="https://jlcpcb.com/" TargetMode="External"/><Relationship Id="rId5" Type="http://schemas.openxmlformats.org/officeDocument/2006/relationships/hyperlink" Target="https://www.digikey.com/en/products/detail/vybronics-inc/VJP12-25F190/21800200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igikey.ca/short/3wn37qv3" TargetMode="External"/><Relationship Id="rId18" Type="http://schemas.openxmlformats.org/officeDocument/2006/relationships/hyperlink" Target="https://www.amazon.ca/523450-Rechargeable-Connector-Household-Appliances/dp/B0C4YH3JSV/ref=asc_df_B0C4YH3JSV?mcid=6a1224694691310bbd7f4acc061777f4&amp;tag=googleshopc0c-20&amp;linkCode=df0&amp;hvadid=706724917116&amp;hvpos=&amp;hvnetw=g&amp;hvrand=14352874976255383731&amp;hvpone=&amp;hvptwo=&amp;hvqmt=&amp;hvdev=c&amp;hvdvcmdl=&amp;hvlocint=&amp;hvlocphy=9001561&amp;hvtargid=pla-2394670522448&amp;psc=1&amp;hvocijid=14352874976255383731-B0C4YH3JSV-&amp;hvexpln=0&amp;gad_source=1" TargetMode="External"/><Relationship Id="rId7" Type="http://schemas.openxmlformats.org/officeDocument/2006/relationships/hyperlink" Target="https://www.digikey.ca/short/9w7r2089" TargetMode="External"/><Relationship Id="rId8" Type="http://schemas.openxmlformats.org/officeDocument/2006/relationships/hyperlink" Target="https://www.digikey.ca/en/products/detail/jst-sales-america-inc/XHP-2/555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.63"/>
    <col customWidth="1" min="3" max="3" width="18.0"/>
    <col customWidth="1" min="4" max="4" width="19.5"/>
    <col customWidth="1" min="5" max="5" width="16.5"/>
    <col customWidth="1" min="6" max="6" width="15.75"/>
    <col customWidth="1" min="8" max="8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1.0</v>
      </c>
      <c r="C2" s="2" t="s">
        <v>10</v>
      </c>
      <c r="D2" s="2" t="s">
        <v>11</v>
      </c>
      <c r="E2" s="3">
        <v>20.72</v>
      </c>
      <c r="F2" s="2">
        <f t="shared" ref="F2:F8" si="1">E2*B2</f>
        <v>20.72</v>
      </c>
      <c r="G2" s="4" t="s">
        <v>12</v>
      </c>
      <c r="H2" s="2" t="s">
        <v>13</v>
      </c>
      <c r="I2" s="5">
        <f>SUM(F2:F1001)</f>
        <v>53.78</v>
      </c>
    </row>
    <row r="3">
      <c r="A3" s="6" t="s">
        <v>14</v>
      </c>
      <c r="B3" s="7">
        <v>1.0</v>
      </c>
      <c r="C3" s="6" t="s">
        <v>15</v>
      </c>
      <c r="D3" s="6" t="s">
        <v>11</v>
      </c>
      <c r="E3" s="8">
        <v>4.17</v>
      </c>
      <c r="F3" s="2">
        <f t="shared" si="1"/>
        <v>4.17</v>
      </c>
      <c r="G3" s="9" t="s">
        <v>16</v>
      </c>
      <c r="H3" s="2" t="s">
        <v>17</v>
      </c>
      <c r="I3" s="10"/>
    </row>
    <row r="4">
      <c r="A4" s="11" t="s">
        <v>18</v>
      </c>
      <c r="B4" s="2">
        <v>2.0</v>
      </c>
      <c r="C4" s="2" t="s">
        <v>19</v>
      </c>
      <c r="D4" s="2" t="s">
        <v>11</v>
      </c>
      <c r="E4" s="3">
        <v>0.11</v>
      </c>
      <c r="F4" s="2">
        <f t="shared" si="1"/>
        <v>0.22</v>
      </c>
      <c r="G4" s="12" t="s">
        <v>20</v>
      </c>
      <c r="H4" s="2" t="s">
        <v>21</v>
      </c>
      <c r="I4" s="10"/>
    </row>
    <row r="5">
      <c r="A5" s="11" t="s">
        <v>22</v>
      </c>
      <c r="B5" s="2">
        <v>1.0</v>
      </c>
      <c r="C5" s="2" t="s">
        <v>19</v>
      </c>
      <c r="E5" s="3">
        <v>0.14</v>
      </c>
      <c r="F5" s="2">
        <f t="shared" si="1"/>
        <v>0.14</v>
      </c>
      <c r="G5" s="12" t="s">
        <v>23</v>
      </c>
      <c r="H5" s="2" t="s">
        <v>24</v>
      </c>
      <c r="I5" s="10"/>
    </row>
    <row r="6">
      <c r="A6" s="11" t="s">
        <v>25</v>
      </c>
      <c r="B6" s="2">
        <v>2.0</v>
      </c>
      <c r="C6" s="2" t="s">
        <v>19</v>
      </c>
      <c r="D6" s="2" t="s">
        <v>11</v>
      </c>
      <c r="E6" s="3">
        <v>0.16</v>
      </c>
      <c r="F6" s="2">
        <f t="shared" si="1"/>
        <v>0.32</v>
      </c>
      <c r="G6" s="13" t="s">
        <v>26</v>
      </c>
      <c r="H6" s="2" t="s">
        <v>27</v>
      </c>
      <c r="I6" s="10"/>
    </row>
    <row r="7">
      <c r="A7" s="14" t="s">
        <v>28</v>
      </c>
      <c r="B7" s="15">
        <v>1.0</v>
      </c>
      <c r="C7" s="14" t="s">
        <v>29</v>
      </c>
      <c r="D7" s="14" t="s">
        <v>11</v>
      </c>
      <c r="E7" s="16">
        <v>9.02</v>
      </c>
      <c r="F7" s="2">
        <f t="shared" si="1"/>
        <v>9.02</v>
      </c>
      <c r="G7" s="12" t="s">
        <v>30</v>
      </c>
      <c r="H7" s="2" t="s">
        <v>31</v>
      </c>
      <c r="I7" s="10"/>
    </row>
    <row r="8">
      <c r="A8" s="2" t="s">
        <v>32</v>
      </c>
      <c r="B8" s="2">
        <v>1.0</v>
      </c>
      <c r="C8" s="2" t="s">
        <v>33</v>
      </c>
      <c r="D8" s="2" t="s">
        <v>11</v>
      </c>
      <c r="E8" s="3">
        <v>2.94</v>
      </c>
      <c r="F8" s="10">
        <f t="shared" si="1"/>
        <v>2.94</v>
      </c>
      <c r="G8" s="17" t="s">
        <v>34</v>
      </c>
      <c r="H8" s="2" t="s">
        <v>35</v>
      </c>
      <c r="I8" s="10"/>
    </row>
    <row r="9">
      <c r="A9" s="2" t="s">
        <v>36</v>
      </c>
      <c r="B9" s="2">
        <v>1.0</v>
      </c>
      <c r="C9" s="2" t="s">
        <v>29</v>
      </c>
      <c r="D9" s="2" t="s">
        <v>11</v>
      </c>
      <c r="E9" s="3">
        <v>0.0</v>
      </c>
      <c r="F9" s="2">
        <v>0.0</v>
      </c>
      <c r="G9" s="17" t="s">
        <v>37</v>
      </c>
      <c r="H9" s="2" t="s">
        <v>38</v>
      </c>
      <c r="I9" s="10"/>
    </row>
    <row r="10">
      <c r="A10" s="2" t="s">
        <v>39</v>
      </c>
      <c r="B10" s="2">
        <v>4.0</v>
      </c>
      <c r="C10" s="2" t="s">
        <v>40</v>
      </c>
      <c r="D10" s="2" t="s">
        <v>11</v>
      </c>
      <c r="E10" s="3">
        <v>0.05</v>
      </c>
      <c r="F10" s="10">
        <f t="shared" ref="F10:F11" si="2">E10*B10</f>
        <v>0.2</v>
      </c>
      <c r="G10" s="17" t="s">
        <v>41</v>
      </c>
      <c r="H10" s="2" t="s">
        <v>39</v>
      </c>
      <c r="I10" s="10"/>
    </row>
    <row r="11">
      <c r="A11" s="2" t="s">
        <v>42</v>
      </c>
      <c r="B11" s="2">
        <v>1.0</v>
      </c>
      <c r="C11" s="2" t="s">
        <v>43</v>
      </c>
      <c r="D11" s="2" t="s">
        <v>44</v>
      </c>
      <c r="E11" s="3">
        <v>1.08</v>
      </c>
      <c r="F11" s="10">
        <f t="shared" si="2"/>
        <v>1.08</v>
      </c>
      <c r="G11" s="18" t="s">
        <v>45</v>
      </c>
      <c r="H11" s="2" t="s">
        <v>46</v>
      </c>
      <c r="I11" s="10"/>
    </row>
    <row r="12">
      <c r="A12" s="2" t="s">
        <v>47</v>
      </c>
      <c r="B12" s="2">
        <v>1.0</v>
      </c>
      <c r="C12" s="2" t="s">
        <v>47</v>
      </c>
      <c r="D12" s="2" t="s">
        <v>48</v>
      </c>
      <c r="E12" s="3">
        <v>6.99</v>
      </c>
      <c r="F12" s="10">
        <f>7/4</f>
        <v>1.75</v>
      </c>
      <c r="G12" s="4" t="s">
        <v>49</v>
      </c>
      <c r="H12" s="2" t="s">
        <v>50</v>
      </c>
      <c r="I12" s="10"/>
    </row>
    <row r="13">
      <c r="A13" s="2" t="s">
        <v>51</v>
      </c>
      <c r="B13" s="2">
        <v>1.0</v>
      </c>
      <c r="C13" s="2" t="s">
        <v>52</v>
      </c>
      <c r="D13" s="2" t="s">
        <v>44</v>
      </c>
      <c r="E13" s="3">
        <v>1.0</v>
      </c>
      <c r="F13" s="2">
        <v>1.0</v>
      </c>
      <c r="G13" s="4" t="s">
        <v>53</v>
      </c>
      <c r="H13" s="2" t="s">
        <v>54</v>
      </c>
      <c r="I13" s="10"/>
    </row>
    <row r="14">
      <c r="A14" s="2" t="s">
        <v>55</v>
      </c>
      <c r="B14" s="2">
        <v>1.0</v>
      </c>
      <c r="C14" s="2" t="s">
        <v>56</v>
      </c>
      <c r="D14" s="2" t="s">
        <v>56</v>
      </c>
      <c r="E14" s="3">
        <v>1.42</v>
      </c>
      <c r="F14" s="10">
        <f>E14*B14</f>
        <v>1.42</v>
      </c>
      <c r="G14" s="17" t="s">
        <v>57</v>
      </c>
      <c r="H14" s="2" t="s">
        <v>58</v>
      </c>
      <c r="I14" s="10"/>
    </row>
    <row r="15">
      <c r="A15" s="19" t="s">
        <v>59</v>
      </c>
      <c r="B15" s="19">
        <v>1.0</v>
      </c>
      <c r="C15" s="19" t="s">
        <v>60</v>
      </c>
      <c r="D15" s="19" t="s">
        <v>44</v>
      </c>
      <c r="E15" s="19">
        <v>18.79</v>
      </c>
      <c r="F15" s="19">
        <v>0.0</v>
      </c>
      <c r="G15" s="20" t="s">
        <v>61</v>
      </c>
      <c r="H15" s="19" t="s">
        <v>62</v>
      </c>
    </row>
    <row r="16">
      <c r="A16" s="19" t="s">
        <v>63</v>
      </c>
      <c r="B16" s="19">
        <v>1.0</v>
      </c>
      <c r="C16" s="19" t="s">
        <v>64</v>
      </c>
      <c r="D16" s="19" t="s">
        <v>44</v>
      </c>
      <c r="E16" s="19">
        <v>10.8</v>
      </c>
      <c r="F16" s="21">
        <f>E16*B16</f>
        <v>10.8</v>
      </c>
      <c r="G16" s="22" t="s">
        <v>65</v>
      </c>
      <c r="H16" s="19" t="s">
        <v>66</v>
      </c>
    </row>
  </sheetData>
  <hyperlinks>
    <hyperlink r:id="rId4" ref="G2"/>
    <hyperlink r:id="rId5" ref="G3"/>
    <hyperlink r:id="rId6" ref="G4"/>
    <hyperlink r:id="rId7" ref="G5"/>
    <hyperlink r:id="rId8" ref="G6"/>
    <hyperlink r:id="rId9" ref="G7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</hyperlinks>
  <drawing r:id="rId19"/>
  <legacyDrawing r:id="rId20"/>
</worksheet>
</file>